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Permutation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sults" sheetId="4" state="visible" r:id="rId4"/>
  </sheets>
  <definedNames>
    <definedName name="InputData">'Input'!$A$2:$B$6</definedName>
    <definedName name="Quota">'Input'!$B$8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Partai</t>
        </is>
      </c>
      <c r="B1" s="1" t="inlineStr">
        <is>
          <t>Kursi</t>
        </is>
      </c>
      <c r="C1" s="1" t="inlineStr">
        <is>
          <t>% Kursi</t>
        </is>
      </c>
    </row>
    <row r="2">
      <c r="A2" s="2" t="inlineStr">
        <is>
          <t>Partai A</t>
        </is>
      </c>
      <c r="B2" s="2" t="n">
        <v>45</v>
      </c>
      <c r="C2" s="3">
        <f>B2/$B$7</f>
        <v/>
      </c>
    </row>
    <row r="3">
      <c r="A3" s="2" t="inlineStr">
        <is>
          <t>Partai B</t>
        </is>
      </c>
      <c r="B3" s="2" t="n">
        <v>25</v>
      </c>
      <c r="C3" s="3">
        <f>B3/$B$7</f>
        <v/>
      </c>
    </row>
    <row r="4">
      <c r="A4" s="2" t="inlineStr">
        <is>
          <t>Partai C</t>
        </is>
      </c>
      <c r="B4" s="2" t="n">
        <v>20</v>
      </c>
      <c r="C4" s="3">
        <f>B4/$B$7</f>
        <v/>
      </c>
    </row>
    <row r="5">
      <c r="A5" s="2" t="inlineStr">
        <is>
          <t>Partai D</t>
        </is>
      </c>
      <c r="B5" s="2" t="n">
        <v>10</v>
      </c>
      <c r="C5" s="3">
        <f>B5/$B$7</f>
        <v/>
      </c>
    </row>
    <row r="6">
      <c r="A6" s="2" t="n"/>
      <c r="B6" s="2" t="n"/>
      <c r="C6" s="2" t="n"/>
    </row>
    <row r="7">
      <c r="A7" s="2" t="inlineStr">
        <is>
          <t>TOTAL</t>
        </is>
      </c>
      <c r="B7" s="2">
        <f>SUM(B2:B6)</f>
        <v/>
      </c>
      <c r="C7" s="3">
        <f>SUM(C2:C6)</f>
        <v/>
      </c>
    </row>
    <row r="8">
      <c r="A8" s="2" t="inlineStr">
        <is>
          <t>QUOTA</t>
        </is>
      </c>
      <c r="B8" s="2" t="n">
        <v>51</v>
      </c>
      <c r="C8" s="3">
        <f>B8/B7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Pos 1</t>
        </is>
      </c>
      <c r="B1" s="4" t="inlineStr">
        <is>
          <t>Pos 2</t>
        </is>
      </c>
      <c r="C1" s="4" t="inlineStr">
        <is>
          <t>Pos 3</t>
        </is>
      </c>
      <c r="D1" s="4" t="inlineStr">
        <is>
          <t>Pos 4</t>
        </is>
      </c>
    </row>
    <row r="2">
      <c r="A2" t="inlineStr">
        <is>
          <t>Partai A</t>
        </is>
      </c>
      <c r="B2" t="inlineStr">
        <is>
          <t>Partai B</t>
        </is>
      </c>
      <c r="C2" t="inlineStr">
        <is>
          <t>Partai C</t>
        </is>
      </c>
      <c r="D2" t="inlineStr">
        <is>
          <t>Partai D</t>
        </is>
      </c>
    </row>
    <row r="3">
      <c r="A3" t="inlineStr">
        <is>
          <t>Partai A</t>
        </is>
      </c>
      <c r="B3" t="inlineStr">
        <is>
          <t>Partai B</t>
        </is>
      </c>
      <c r="C3" t="inlineStr">
        <is>
          <t>Partai D</t>
        </is>
      </c>
      <c r="D3" t="inlineStr">
        <is>
          <t>Partai C</t>
        </is>
      </c>
    </row>
    <row r="4">
      <c r="A4" t="inlineStr">
        <is>
          <t>Partai A</t>
        </is>
      </c>
      <c r="B4" t="inlineStr">
        <is>
          <t>Partai C</t>
        </is>
      </c>
      <c r="C4" t="inlineStr">
        <is>
          <t>Partai B</t>
        </is>
      </c>
      <c r="D4" t="inlineStr">
        <is>
          <t>Partai D</t>
        </is>
      </c>
    </row>
    <row r="5">
      <c r="A5" t="inlineStr">
        <is>
          <t>Partai A</t>
        </is>
      </c>
      <c r="B5" t="inlineStr">
        <is>
          <t>Partai C</t>
        </is>
      </c>
      <c r="C5" t="inlineStr">
        <is>
          <t>Partai D</t>
        </is>
      </c>
      <c r="D5" t="inlineStr">
        <is>
          <t>Partai B</t>
        </is>
      </c>
    </row>
    <row r="6">
      <c r="A6" t="inlineStr">
        <is>
          <t>Partai A</t>
        </is>
      </c>
      <c r="B6" t="inlineStr">
        <is>
          <t>Partai D</t>
        </is>
      </c>
      <c r="C6" t="inlineStr">
        <is>
          <t>Partai B</t>
        </is>
      </c>
      <c r="D6" t="inlineStr">
        <is>
          <t>Partai C</t>
        </is>
      </c>
    </row>
    <row r="7">
      <c r="A7" t="inlineStr">
        <is>
          <t>Partai A</t>
        </is>
      </c>
      <c r="B7" t="inlineStr">
        <is>
          <t>Partai D</t>
        </is>
      </c>
      <c r="C7" t="inlineStr">
        <is>
          <t>Partai C</t>
        </is>
      </c>
      <c r="D7" t="inlineStr">
        <is>
          <t>Partai B</t>
        </is>
      </c>
    </row>
    <row r="8">
      <c r="A8" t="inlineStr">
        <is>
          <t>Partai B</t>
        </is>
      </c>
      <c r="B8" t="inlineStr">
        <is>
          <t>Partai A</t>
        </is>
      </c>
      <c r="C8" t="inlineStr">
        <is>
          <t>Partai C</t>
        </is>
      </c>
      <c r="D8" t="inlineStr">
        <is>
          <t>Partai D</t>
        </is>
      </c>
    </row>
    <row r="9">
      <c r="A9" t="inlineStr">
        <is>
          <t>Partai B</t>
        </is>
      </c>
      <c r="B9" t="inlineStr">
        <is>
          <t>Partai A</t>
        </is>
      </c>
      <c r="C9" t="inlineStr">
        <is>
          <t>Partai D</t>
        </is>
      </c>
      <c r="D9" t="inlineStr">
        <is>
          <t>Partai C</t>
        </is>
      </c>
    </row>
    <row r="10">
      <c r="A10" t="inlineStr">
        <is>
          <t>Partai B</t>
        </is>
      </c>
      <c r="B10" t="inlineStr">
        <is>
          <t>Partai C</t>
        </is>
      </c>
      <c r="C10" t="inlineStr">
        <is>
          <t>Partai A</t>
        </is>
      </c>
      <c r="D10" t="inlineStr">
        <is>
          <t>Partai D</t>
        </is>
      </c>
    </row>
    <row r="11">
      <c r="A11" t="inlineStr">
        <is>
          <t>Partai B</t>
        </is>
      </c>
      <c r="B11" t="inlineStr">
        <is>
          <t>Partai C</t>
        </is>
      </c>
      <c r="C11" t="inlineStr">
        <is>
          <t>Partai D</t>
        </is>
      </c>
      <c r="D11" t="inlineStr">
        <is>
          <t>Partai A</t>
        </is>
      </c>
    </row>
    <row r="12">
      <c r="A12" t="inlineStr">
        <is>
          <t>Partai B</t>
        </is>
      </c>
      <c r="B12" t="inlineStr">
        <is>
          <t>Partai D</t>
        </is>
      </c>
      <c r="C12" t="inlineStr">
        <is>
          <t>Partai A</t>
        </is>
      </c>
      <c r="D12" t="inlineStr">
        <is>
          <t>Partai C</t>
        </is>
      </c>
    </row>
    <row r="13">
      <c r="A13" t="inlineStr">
        <is>
          <t>Partai B</t>
        </is>
      </c>
      <c r="B13" t="inlineStr">
        <is>
          <t>Partai D</t>
        </is>
      </c>
      <c r="C13" t="inlineStr">
        <is>
          <t>Partai C</t>
        </is>
      </c>
      <c r="D13" t="inlineStr">
        <is>
          <t>Partai A</t>
        </is>
      </c>
    </row>
    <row r="14">
      <c r="A14" t="inlineStr">
        <is>
          <t>Partai C</t>
        </is>
      </c>
      <c r="B14" t="inlineStr">
        <is>
          <t>Partai A</t>
        </is>
      </c>
      <c r="C14" t="inlineStr">
        <is>
          <t>Partai B</t>
        </is>
      </c>
      <c r="D14" t="inlineStr">
        <is>
          <t>Partai D</t>
        </is>
      </c>
    </row>
    <row r="15">
      <c r="A15" t="inlineStr">
        <is>
          <t>Partai C</t>
        </is>
      </c>
      <c r="B15" t="inlineStr">
        <is>
          <t>Partai A</t>
        </is>
      </c>
      <c r="C15" t="inlineStr">
        <is>
          <t>Partai D</t>
        </is>
      </c>
      <c r="D15" t="inlineStr">
        <is>
          <t>Partai B</t>
        </is>
      </c>
    </row>
    <row r="16">
      <c r="A16" t="inlineStr">
        <is>
          <t>Partai C</t>
        </is>
      </c>
      <c r="B16" t="inlineStr">
        <is>
          <t>Partai B</t>
        </is>
      </c>
      <c r="C16" t="inlineStr">
        <is>
          <t>Partai A</t>
        </is>
      </c>
      <c r="D16" t="inlineStr">
        <is>
          <t>Partai D</t>
        </is>
      </c>
    </row>
    <row r="17">
      <c r="A17" t="inlineStr">
        <is>
          <t>Partai C</t>
        </is>
      </c>
      <c r="B17" t="inlineStr">
        <is>
          <t>Partai B</t>
        </is>
      </c>
      <c r="C17" t="inlineStr">
        <is>
          <t>Partai D</t>
        </is>
      </c>
      <c r="D17" t="inlineStr">
        <is>
          <t>Partai A</t>
        </is>
      </c>
    </row>
    <row r="18">
      <c r="A18" t="inlineStr">
        <is>
          <t>Partai C</t>
        </is>
      </c>
      <c r="B18" t="inlineStr">
        <is>
          <t>Partai D</t>
        </is>
      </c>
      <c r="C18" t="inlineStr">
        <is>
          <t>Partai A</t>
        </is>
      </c>
      <c r="D18" t="inlineStr">
        <is>
          <t>Partai B</t>
        </is>
      </c>
    </row>
    <row r="19">
      <c r="A19" t="inlineStr">
        <is>
          <t>Partai C</t>
        </is>
      </c>
      <c r="B19" t="inlineStr">
        <is>
          <t>Partai D</t>
        </is>
      </c>
      <c r="C19" t="inlineStr">
        <is>
          <t>Partai B</t>
        </is>
      </c>
      <c r="D19" t="inlineStr">
        <is>
          <t>Partai A</t>
        </is>
      </c>
    </row>
    <row r="20">
      <c r="A20" t="inlineStr">
        <is>
          <t>Partai D</t>
        </is>
      </c>
      <c r="B20" t="inlineStr">
        <is>
          <t>Partai A</t>
        </is>
      </c>
      <c r="C20" t="inlineStr">
        <is>
          <t>Partai B</t>
        </is>
      </c>
      <c r="D20" t="inlineStr">
        <is>
          <t>Partai C</t>
        </is>
      </c>
    </row>
    <row r="21">
      <c r="A21" t="inlineStr">
        <is>
          <t>Partai D</t>
        </is>
      </c>
      <c r="B21" t="inlineStr">
        <is>
          <t>Partai A</t>
        </is>
      </c>
      <c r="C21" t="inlineStr">
        <is>
          <t>Partai C</t>
        </is>
      </c>
      <c r="D21" t="inlineStr">
        <is>
          <t>Partai B</t>
        </is>
      </c>
    </row>
    <row r="22">
      <c r="A22" t="inlineStr">
        <is>
          <t>Partai D</t>
        </is>
      </c>
      <c r="B22" t="inlineStr">
        <is>
          <t>Partai B</t>
        </is>
      </c>
      <c r="C22" t="inlineStr">
        <is>
          <t>Partai A</t>
        </is>
      </c>
      <c r="D22" t="inlineStr">
        <is>
          <t>Partai C</t>
        </is>
      </c>
    </row>
    <row r="23">
      <c r="A23" t="inlineStr">
        <is>
          <t>Partai D</t>
        </is>
      </c>
      <c r="B23" t="inlineStr">
        <is>
          <t>Partai B</t>
        </is>
      </c>
      <c r="C23" t="inlineStr">
        <is>
          <t>Partai C</t>
        </is>
      </c>
      <c r="D23" t="inlineStr">
        <is>
          <t>Partai A</t>
        </is>
      </c>
    </row>
    <row r="24">
      <c r="A24" t="inlineStr">
        <is>
          <t>Partai D</t>
        </is>
      </c>
      <c r="B24" t="inlineStr">
        <is>
          <t>Partai C</t>
        </is>
      </c>
      <c r="C24" t="inlineStr">
        <is>
          <t>Partai A</t>
        </is>
      </c>
      <c r="D24" t="inlineStr">
        <is>
          <t>Partai B</t>
        </is>
      </c>
    </row>
    <row r="25">
      <c r="A25" t="inlineStr">
        <is>
          <t>Partai D</t>
        </is>
      </c>
      <c r="B25" t="inlineStr">
        <is>
          <t>Partai C</t>
        </is>
      </c>
      <c r="C25" t="inlineStr">
        <is>
          <t>Partai B</t>
        </is>
      </c>
      <c r="D25" t="inlineStr">
        <is>
          <t>Partai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P1</t>
        </is>
      </c>
      <c r="B1" s="4" t="inlineStr">
        <is>
          <t>P2</t>
        </is>
      </c>
      <c r="C1" s="4" t="inlineStr">
        <is>
          <t>P3</t>
        </is>
      </c>
      <c r="D1" s="4" t="inlineStr">
        <is>
          <t>P4</t>
        </is>
      </c>
      <c r="E1" s="4" t="inlineStr">
        <is>
          <t>Cum1</t>
        </is>
      </c>
      <c r="F1" s="4" t="inlineStr">
        <is>
          <t>Cum2</t>
        </is>
      </c>
      <c r="G1" s="4" t="inlineStr">
        <is>
          <t>Cum3</t>
        </is>
      </c>
      <c r="H1" s="4" t="inlineStr">
        <is>
          <t>Cum4</t>
        </is>
      </c>
      <c r="I1" s="4" t="inlineStr">
        <is>
          <t>PIVOT</t>
        </is>
      </c>
    </row>
    <row r="2">
      <c r="A2">
        <f>Permutations!A2</f>
        <v/>
      </c>
      <c r="B2">
        <f>Permutations!B2</f>
        <v/>
      </c>
      <c r="C2">
        <f>Permutations!C2</f>
        <v/>
      </c>
      <c r="D2">
        <f>Permutations!D2</f>
        <v/>
      </c>
      <c r="E2">
        <f>VLOOKUP(A2,InputData,2,FALSE)</f>
        <v/>
      </c>
      <c r="F2">
        <f>E2+VLOOKUP(B2,InputData,2,FALSE)</f>
        <v/>
      </c>
      <c r="G2">
        <f>F2+VLOOKUP(C2,InputData,2,FALSE)</f>
        <v/>
      </c>
      <c r="H2">
        <f>G2+VLOOKUP(D2,InputData,2,FALSE)</f>
        <v/>
      </c>
      <c r="I2">
        <f>IF(E2&gt;=Quota, A2, IF(F2&gt;=Quota, B2, IF(G2&gt;=Quota, C2, D2)))</f>
        <v/>
      </c>
    </row>
    <row r="3">
      <c r="A3">
        <f>Permutations!A3</f>
        <v/>
      </c>
      <c r="B3">
        <f>Permutations!B3</f>
        <v/>
      </c>
      <c r="C3">
        <f>Permutations!C3</f>
        <v/>
      </c>
      <c r="D3">
        <f>Permutations!D3</f>
        <v/>
      </c>
      <c r="E3">
        <f>VLOOKUP(A3,InputData,2,FALSE)</f>
        <v/>
      </c>
      <c r="F3">
        <f>E3+VLOOKUP(B3,InputData,2,FALSE)</f>
        <v/>
      </c>
      <c r="G3">
        <f>F3+VLOOKUP(C3,InputData,2,FALSE)</f>
        <v/>
      </c>
      <c r="H3">
        <f>G3+VLOOKUP(D3,InputData,2,FALSE)</f>
        <v/>
      </c>
      <c r="I3">
        <f>IF(E3&gt;=Quota, A3, IF(F3&gt;=Quota, B3, IF(G3&gt;=Quota, C3, D3)))</f>
        <v/>
      </c>
    </row>
    <row r="4">
      <c r="A4">
        <f>Permutations!A4</f>
        <v/>
      </c>
      <c r="B4">
        <f>Permutations!B4</f>
        <v/>
      </c>
      <c r="C4">
        <f>Permutations!C4</f>
        <v/>
      </c>
      <c r="D4">
        <f>Permutations!D4</f>
        <v/>
      </c>
      <c r="E4">
        <f>VLOOKUP(A4,InputData,2,FALSE)</f>
        <v/>
      </c>
      <c r="F4">
        <f>E4+VLOOKUP(B4,InputData,2,FALSE)</f>
        <v/>
      </c>
      <c r="G4">
        <f>F4+VLOOKUP(C4,InputData,2,FALSE)</f>
        <v/>
      </c>
      <c r="H4">
        <f>G4+VLOOKUP(D4,InputData,2,FALSE)</f>
        <v/>
      </c>
      <c r="I4">
        <f>IF(E4&gt;=Quota, A4, IF(F4&gt;=Quota, B4, IF(G4&gt;=Quota, C4, D4)))</f>
        <v/>
      </c>
    </row>
    <row r="5">
      <c r="A5">
        <f>Permutations!A5</f>
        <v/>
      </c>
      <c r="B5">
        <f>Permutations!B5</f>
        <v/>
      </c>
      <c r="C5">
        <f>Permutations!C5</f>
        <v/>
      </c>
      <c r="D5">
        <f>Permutations!D5</f>
        <v/>
      </c>
      <c r="E5">
        <f>VLOOKUP(A5,InputData,2,FALSE)</f>
        <v/>
      </c>
      <c r="F5">
        <f>E5+VLOOKUP(B5,InputData,2,FALSE)</f>
        <v/>
      </c>
      <c r="G5">
        <f>F5+VLOOKUP(C5,InputData,2,FALSE)</f>
        <v/>
      </c>
      <c r="H5">
        <f>G5+VLOOKUP(D5,InputData,2,FALSE)</f>
        <v/>
      </c>
      <c r="I5">
        <f>IF(E5&gt;=Quota, A5, IF(F5&gt;=Quota, B5, IF(G5&gt;=Quota, C5, D5)))</f>
        <v/>
      </c>
    </row>
    <row r="6">
      <c r="A6">
        <f>Permutations!A6</f>
        <v/>
      </c>
      <c r="B6">
        <f>Permutations!B6</f>
        <v/>
      </c>
      <c r="C6">
        <f>Permutations!C6</f>
        <v/>
      </c>
      <c r="D6">
        <f>Permutations!D6</f>
        <v/>
      </c>
      <c r="E6">
        <f>VLOOKUP(A6,InputData,2,FALSE)</f>
        <v/>
      </c>
      <c r="F6">
        <f>E6+VLOOKUP(B6,InputData,2,FALSE)</f>
        <v/>
      </c>
      <c r="G6">
        <f>F6+VLOOKUP(C6,InputData,2,FALSE)</f>
        <v/>
      </c>
      <c r="H6">
        <f>G6+VLOOKUP(D6,InputData,2,FALSE)</f>
        <v/>
      </c>
      <c r="I6">
        <f>IF(E6&gt;=Quota, A6, IF(F6&gt;=Quota, B6, IF(G6&gt;=Quota, C6, D6)))</f>
        <v/>
      </c>
    </row>
    <row r="7">
      <c r="A7">
        <f>Permutations!A7</f>
        <v/>
      </c>
      <c r="B7">
        <f>Permutations!B7</f>
        <v/>
      </c>
      <c r="C7">
        <f>Permutations!C7</f>
        <v/>
      </c>
      <c r="D7">
        <f>Permutations!D7</f>
        <v/>
      </c>
      <c r="E7">
        <f>VLOOKUP(A7,InputData,2,FALSE)</f>
        <v/>
      </c>
      <c r="F7">
        <f>E7+VLOOKUP(B7,InputData,2,FALSE)</f>
        <v/>
      </c>
      <c r="G7">
        <f>F7+VLOOKUP(C7,InputData,2,FALSE)</f>
        <v/>
      </c>
      <c r="H7">
        <f>G7+VLOOKUP(D7,InputData,2,FALSE)</f>
        <v/>
      </c>
      <c r="I7">
        <f>IF(E7&gt;=Quota, A7, IF(F7&gt;=Quota, B7, IF(G7&gt;=Quota, C7, D7)))</f>
        <v/>
      </c>
    </row>
    <row r="8">
      <c r="A8">
        <f>Permutations!A8</f>
        <v/>
      </c>
      <c r="B8">
        <f>Permutations!B8</f>
        <v/>
      </c>
      <c r="C8">
        <f>Permutations!C8</f>
        <v/>
      </c>
      <c r="D8">
        <f>Permutations!D8</f>
        <v/>
      </c>
      <c r="E8">
        <f>VLOOKUP(A8,InputData,2,FALSE)</f>
        <v/>
      </c>
      <c r="F8">
        <f>E8+VLOOKUP(B8,InputData,2,FALSE)</f>
        <v/>
      </c>
      <c r="G8">
        <f>F8+VLOOKUP(C8,InputData,2,FALSE)</f>
        <v/>
      </c>
      <c r="H8">
        <f>G8+VLOOKUP(D8,InputData,2,FALSE)</f>
        <v/>
      </c>
      <c r="I8">
        <f>IF(E8&gt;=Quota, A8, IF(F8&gt;=Quota, B8, IF(G8&gt;=Quota, C8, D8)))</f>
        <v/>
      </c>
    </row>
    <row r="9">
      <c r="A9">
        <f>Permutations!A9</f>
        <v/>
      </c>
      <c r="B9">
        <f>Permutations!B9</f>
        <v/>
      </c>
      <c r="C9">
        <f>Permutations!C9</f>
        <v/>
      </c>
      <c r="D9">
        <f>Permutations!D9</f>
        <v/>
      </c>
      <c r="E9">
        <f>VLOOKUP(A9,InputData,2,FALSE)</f>
        <v/>
      </c>
      <c r="F9">
        <f>E9+VLOOKUP(B9,InputData,2,FALSE)</f>
        <v/>
      </c>
      <c r="G9">
        <f>F9+VLOOKUP(C9,InputData,2,FALSE)</f>
        <v/>
      </c>
      <c r="H9">
        <f>G9+VLOOKUP(D9,InputData,2,FALSE)</f>
        <v/>
      </c>
      <c r="I9">
        <f>IF(E9&gt;=Quota, A9, IF(F9&gt;=Quota, B9, IF(G9&gt;=Quota, C9, D9)))</f>
        <v/>
      </c>
    </row>
    <row r="10">
      <c r="A10">
        <f>Permutations!A10</f>
        <v/>
      </c>
      <c r="B10">
        <f>Permutations!B10</f>
        <v/>
      </c>
      <c r="C10">
        <f>Permutations!C10</f>
        <v/>
      </c>
      <c r="D10">
        <f>Permutations!D10</f>
        <v/>
      </c>
      <c r="E10">
        <f>VLOOKUP(A10,InputData,2,FALSE)</f>
        <v/>
      </c>
      <c r="F10">
        <f>E10+VLOOKUP(B10,InputData,2,FALSE)</f>
        <v/>
      </c>
      <c r="G10">
        <f>F10+VLOOKUP(C10,InputData,2,FALSE)</f>
        <v/>
      </c>
      <c r="H10">
        <f>G10+VLOOKUP(D10,InputData,2,FALSE)</f>
        <v/>
      </c>
      <c r="I10">
        <f>IF(E10&gt;=Quota, A10, IF(F10&gt;=Quota, B10, IF(G10&gt;=Quota, C10, D10)))</f>
        <v/>
      </c>
    </row>
    <row r="11">
      <c r="A11">
        <f>Permutations!A11</f>
        <v/>
      </c>
      <c r="B11">
        <f>Permutations!B11</f>
        <v/>
      </c>
      <c r="C11">
        <f>Permutations!C11</f>
        <v/>
      </c>
      <c r="D11">
        <f>Permutations!D11</f>
        <v/>
      </c>
      <c r="E11">
        <f>VLOOKUP(A11,InputData,2,FALSE)</f>
        <v/>
      </c>
      <c r="F11">
        <f>E11+VLOOKUP(B11,InputData,2,FALSE)</f>
        <v/>
      </c>
      <c r="G11">
        <f>F11+VLOOKUP(C11,InputData,2,FALSE)</f>
        <v/>
      </c>
      <c r="H11">
        <f>G11+VLOOKUP(D11,InputData,2,FALSE)</f>
        <v/>
      </c>
      <c r="I11">
        <f>IF(E11&gt;=Quota, A11, IF(F11&gt;=Quota, B11, IF(G11&gt;=Quota, C11, D11)))</f>
        <v/>
      </c>
    </row>
    <row r="12">
      <c r="A12">
        <f>Permutations!A12</f>
        <v/>
      </c>
      <c r="B12">
        <f>Permutations!B12</f>
        <v/>
      </c>
      <c r="C12">
        <f>Permutations!C12</f>
        <v/>
      </c>
      <c r="D12">
        <f>Permutations!D12</f>
        <v/>
      </c>
      <c r="E12">
        <f>VLOOKUP(A12,InputData,2,FALSE)</f>
        <v/>
      </c>
      <c r="F12">
        <f>E12+VLOOKUP(B12,InputData,2,FALSE)</f>
        <v/>
      </c>
      <c r="G12">
        <f>F12+VLOOKUP(C12,InputData,2,FALSE)</f>
        <v/>
      </c>
      <c r="H12">
        <f>G12+VLOOKUP(D12,InputData,2,FALSE)</f>
        <v/>
      </c>
      <c r="I12">
        <f>IF(E12&gt;=Quota, A12, IF(F12&gt;=Quota, B12, IF(G12&gt;=Quota, C12, D12)))</f>
        <v/>
      </c>
    </row>
    <row r="13">
      <c r="A13">
        <f>Permutations!A13</f>
        <v/>
      </c>
      <c r="B13">
        <f>Permutations!B13</f>
        <v/>
      </c>
      <c r="C13">
        <f>Permutations!C13</f>
        <v/>
      </c>
      <c r="D13">
        <f>Permutations!D13</f>
        <v/>
      </c>
      <c r="E13">
        <f>VLOOKUP(A13,InputData,2,FALSE)</f>
        <v/>
      </c>
      <c r="F13">
        <f>E13+VLOOKUP(B13,InputData,2,FALSE)</f>
        <v/>
      </c>
      <c r="G13">
        <f>F13+VLOOKUP(C13,InputData,2,FALSE)</f>
        <v/>
      </c>
      <c r="H13">
        <f>G13+VLOOKUP(D13,InputData,2,FALSE)</f>
        <v/>
      </c>
      <c r="I13">
        <f>IF(E13&gt;=Quota, A13, IF(F13&gt;=Quota, B13, IF(G13&gt;=Quota, C13, D13)))</f>
        <v/>
      </c>
    </row>
    <row r="14">
      <c r="A14">
        <f>Permutations!A14</f>
        <v/>
      </c>
      <c r="B14">
        <f>Permutations!B14</f>
        <v/>
      </c>
      <c r="C14">
        <f>Permutations!C14</f>
        <v/>
      </c>
      <c r="D14">
        <f>Permutations!D14</f>
        <v/>
      </c>
      <c r="E14">
        <f>VLOOKUP(A14,InputData,2,FALSE)</f>
        <v/>
      </c>
      <c r="F14">
        <f>E14+VLOOKUP(B14,InputData,2,FALSE)</f>
        <v/>
      </c>
      <c r="G14">
        <f>F14+VLOOKUP(C14,InputData,2,FALSE)</f>
        <v/>
      </c>
      <c r="H14">
        <f>G14+VLOOKUP(D14,InputData,2,FALSE)</f>
        <v/>
      </c>
      <c r="I14">
        <f>IF(E14&gt;=Quota, A14, IF(F14&gt;=Quota, B14, IF(G14&gt;=Quota, C14, D14)))</f>
        <v/>
      </c>
    </row>
    <row r="15">
      <c r="A15">
        <f>Permutations!A15</f>
        <v/>
      </c>
      <c r="B15">
        <f>Permutations!B15</f>
        <v/>
      </c>
      <c r="C15">
        <f>Permutations!C15</f>
        <v/>
      </c>
      <c r="D15">
        <f>Permutations!D15</f>
        <v/>
      </c>
      <c r="E15">
        <f>VLOOKUP(A15,InputData,2,FALSE)</f>
        <v/>
      </c>
      <c r="F15">
        <f>E15+VLOOKUP(B15,InputData,2,FALSE)</f>
        <v/>
      </c>
      <c r="G15">
        <f>F15+VLOOKUP(C15,InputData,2,FALSE)</f>
        <v/>
      </c>
      <c r="H15">
        <f>G15+VLOOKUP(D15,InputData,2,FALSE)</f>
        <v/>
      </c>
      <c r="I15">
        <f>IF(E15&gt;=Quota, A15, IF(F15&gt;=Quota, B15, IF(G15&gt;=Quota, C15, D15)))</f>
        <v/>
      </c>
    </row>
    <row r="16">
      <c r="A16">
        <f>Permutations!A16</f>
        <v/>
      </c>
      <c r="B16">
        <f>Permutations!B16</f>
        <v/>
      </c>
      <c r="C16">
        <f>Permutations!C16</f>
        <v/>
      </c>
      <c r="D16">
        <f>Permutations!D16</f>
        <v/>
      </c>
      <c r="E16">
        <f>VLOOKUP(A16,InputData,2,FALSE)</f>
        <v/>
      </c>
      <c r="F16">
        <f>E16+VLOOKUP(B16,InputData,2,FALSE)</f>
        <v/>
      </c>
      <c r="G16">
        <f>F16+VLOOKUP(C16,InputData,2,FALSE)</f>
        <v/>
      </c>
      <c r="H16">
        <f>G16+VLOOKUP(D16,InputData,2,FALSE)</f>
        <v/>
      </c>
      <c r="I16">
        <f>IF(E16&gt;=Quota, A16, IF(F16&gt;=Quota, B16, IF(G16&gt;=Quota, C16, D16)))</f>
        <v/>
      </c>
    </row>
    <row r="17">
      <c r="A17">
        <f>Permutations!A17</f>
        <v/>
      </c>
      <c r="B17">
        <f>Permutations!B17</f>
        <v/>
      </c>
      <c r="C17">
        <f>Permutations!C17</f>
        <v/>
      </c>
      <c r="D17">
        <f>Permutations!D17</f>
        <v/>
      </c>
      <c r="E17">
        <f>VLOOKUP(A17,InputData,2,FALSE)</f>
        <v/>
      </c>
      <c r="F17">
        <f>E17+VLOOKUP(B17,InputData,2,FALSE)</f>
        <v/>
      </c>
      <c r="G17">
        <f>F17+VLOOKUP(C17,InputData,2,FALSE)</f>
        <v/>
      </c>
      <c r="H17">
        <f>G17+VLOOKUP(D17,InputData,2,FALSE)</f>
        <v/>
      </c>
      <c r="I17">
        <f>IF(E17&gt;=Quota, A17, IF(F17&gt;=Quota, B17, IF(G17&gt;=Quota, C17, D17)))</f>
        <v/>
      </c>
    </row>
    <row r="18">
      <c r="A18">
        <f>Permutations!A18</f>
        <v/>
      </c>
      <c r="B18">
        <f>Permutations!B18</f>
        <v/>
      </c>
      <c r="C18">
        <f>Permutations!C18</f>
        <v/>
      </c>
      <c r="D18">
        <f>Permutations!D18</f>
        <v/>
      </c>
      <c r="E18">
        <f>VLOOKUP(A18,InputData,2,FALSE)</f>
        <v/>
      </c>
      <c r="F18">
        <f>E18+VLOOKUP(B18,InputData,2,FALSE)</f>
        <v/>
      </c>
      <c r="G18">
        <f>F18+VLOOKUP(C18,InputData,2,FALSE)</f>
        <v/>
      </c>
      <c r="H18">
        <f>G18+VLOOKUP(D18,InputData,2,FALSE)</f>
        <v/>
      </c>
      <c r="I18">
        <f>IF(E18&gt;=Quota, A18, IF(F18&gt;=Quota, B18, IF(G18&gt;=Quota, C18, D18)))</f>
        <v/>
      </c>
    </row>
    <row r="19">
      <c r="A19">
        <f>Permutations!A19</f>
        <v/>
      </c>
      <c r="B19">
        <f>Permutations!B19</f>
        <v/>
      </c>
      <c r="C19">
        <f>Permutations!C19</f>
        <v/>
      </c>
      <c r="D19">
        <f>Permutations!D19</f>
        <v/>
      </c>
      <c r="E19">
        <f>VLOOKUP(A19,InputData,2,FALSE)</f>
        <v/>
      </c>
      <c r="F19">
        <f>E19+VLOOKUP(B19,InputData,2,FALSE)</f>
        <v/>
      </c>
      <c r="G19">
        <f>F19+VLOOKUP(C19,InputData,2,FALSE)</f>
        <v/>
      </c>
      <c r="H19">
        <f>G19+VLOOKUP(D19,InputData,2,FALSE)</f>
        <v/>
      </c>
      <c r="I19">
        <f>IF(E19&gt;=Quota, A19, IF(F19&gt;=Quota, B19, IF(G19&gt;=Quota, C19, D19)))</f>
        <v/>
      </c>
    </row>
    <row r="20">
      <c r="A20">
        <f>Permutations!A20</f>
        <v/>
      </c>
      <c r="B20">
        <f>Permutations!B20</f>
        <v/>
      </c>
      <c r="C20">
        <f>Permutations!C20</f>
        <v/>
      </c>
      <c r="D20">
        <f>Permutations!D20</f>
        <v/>
      </c>
      <c r="E20">
        <f>VLOOKUP(A20,InputData,2,FALSE)</f>
        <v/>
      </c>
      <c r="F20">
        <f>E20+VLOOKUP(B20,InputData,2,FALSE)</f>
        <v/>
      </c>
      <c r="G20">
        <f>F20+VLOOKUP(C20,InputData,2,FALSE)</f>
        <v/>
      </c>
      <c r="H20">
        <f>G20+VLOOKUP(D20,InputData,2,FALSE)</f>
        <v/>
      </c>
      <c r="I20">
        <f>IF(E20&gt;=Quota, A20, IF(F20&gt;=Quota, B20, IF(G20&gt;=Quota, C20, D20)))</f>
        <v/>
      </c>
    </row>
    <row r="21">
      <c r="A21">
        <f>Permutations!A21</f>
        <v/>
      </c>
      <c r="B21">
        <f>Permutations!B21</f>
        <v/>
      </c>
      <c r="C21">
        <f>Permutations!C21</f>
        <v/>
      </c>
      <c r="D21">
        <f>Permutations!D21</f>
        <v/>
      </c>
      <c r="E21">
        <f>VLOOKUP(A21,InputData,2,FALSE)</f>
        <v/>
      </c>
      <c r="F21">
        <f>E21+VLOOKUP(B21,InputData,2,FALSE)</f>
        <v/>
      </c>
      <c r="G21">
        <f>F21+VLOOKUP(C21,InputData,2,FALSE)</f>
        <v/>
      </c>
      <c r="H21">
        <f>G21+VLOOKUP(D21,InputData,2,FALSE)</f>
        <v/>
      </c>
      <c r="I21">
        <f>IF(E21&gt;=Quota, A21, IF(F21&gt;=Quota, B21, IF(G21&gt;=Quota, C21, D21)))</f>
        <v/>
      </c>
    </row>
    <row r="22">
      <c r="A22">
        <f>Permutations!A22</f>
        <v/>
      </c>
      <c r="B22">
        <f>Permutations!B22</f>
        <v/>
      </c>
      <c r="C22">
        <f>Permutations!C22</f>
        <v/>
      </c>
      <c r="D22">
        <f>Permutations!D22</f>
        <v/>
      </c>
      <c r="E22">
        <f>VLOOKUP(A22,InputData,2,FALSE)</f>
        <v/>
      </c>
      <c r="F22">
        <f>E22+VLOOKUP(B22,InputData,2,FALSE)</f>
        <v/>
      </c>
      <c r="G22">
        <f>F22+VLOOKUP(C22,InputData,2,FALSE)</f>
        <v/>
      </c>
      <c r="H22">
        <f>G22+VLOOKUP(D22,InputData,2,FALSE)</f>
        <v/>
      </c>
      <c r="I22">
        <f>IF(E22&gt;=Quota, A22, IF(F22&gt;=Quota, B22, IF(G22&gt;=Quota, C22, D22)))</f>
        <v/>
      </c>
    </row>
    <row r="23">
      <c r="A23">
        <f>Permutations!A23</f>
        <v/>
      </c>
      <c r="B23">
        <f>Permutations!B23</f>
        <v/>
      </c>
      <c r="C23">
        <f>Permutations!C23</f>
        <v/>
      </c>
      <c r="D23">
        <f>Permutations!D23</f>
        <v/>
      </c>
      <c r="E23">
        <f>VLOOKUP(A23,InputData,2,FALSE)</f>
        <v/>
      </c>
      <c r="F23">
        <f>E23+VLOOKUP(B23,InputData,2,FALSE)</f>
        <v/>
      </c>
      <c r="G23">
        <f>F23+VLOOKUP(C23,InputData,2,FALSE)</f>
        <v/>
      </c>
      <c r="H23">
        <f>G23+VLOOKUP(D23,InputData,2,FALSE)</f>
        <v/>
      </c>
      <c r="I23">
        <f>IF(E23&gt;=Quota, A23, IF(F23&gt;=Quota, B23, IF(G23&gt;=Quota, C23, D23)))</f>
        <v/>
      </c>
    </row>
    <row r="24">
      <c r="A24">
        <f>Permutations!A24</f>
        <v/>
      </c>
      <c r="B24">
        <f>Permutations!B24</f>
        <v/>
      </c>
      <c r="C24">
        <f>Permutations!C24</f>
        <v/>
      </c>
      <c r="D24">
        <f>Permutations!D24</f>
        <v/>
      </c>
      <c r="E24">
        <f>VLOOKUP(A24,InputData,2,FALSE)</f>
        <v/>
      </c>
      <c r="F24">
        <f>E24+VLOOKUP(B24,InputData,2,FALSE)</f>
        <v/>
      </c>
      <c r="G24">
        <f>F24+VLOOKUP(C24,InputData,2,FALSE)</f>
        <v/>
      </c>
      <c r="H24">
        <f>G24+VLOOKUP(D24,InputData,2,FALSE)</f>
        <v/>
      </c>
      <c r="I24">
        <f>IF(E24&gt;=Quota, A24, IF(F24&gt;=Quota, B24, IF(G24&gt;=Quota, C24, D24)))</f>
        <v/>
      </c>
    </row>
    <row r="25">
      <c r="A25">
        <f>Permutations!A25</f>
        <v/>
      </c>
      <c r="B25">
        <f>Permutations!B25</f>
        <v/>
      </c>
      <c r="C25">
        <f>Permutations!C25</f>
        <v/>
      </c>
      <c r="D25">
        <f>Permutations!D25</f>
        <v/>
      </c>
      <c r="E25">
        <f>VLOOKUP(A25,InputData,2,FALSE)</f>
        <v/>
      </c>
      <c r="F25">
        <f>E25+VLOOKUP(B25,InputData,2,FALSE)</f>
        <v/>
      </c>
      <c r="G25">
        <f>F25+VLOOKUP(C25,InputData,2,FALSE)</f>
        <v/>
      </c>
      <c r="H25">
        <f>G25+VLOOKUP(D25,InputData,2,FALSE)</f>
        <v/>
      </c>
      <c r="I25">
        <f>IF(E25&gt;=Quota, A25, IF(F25&gt;=Quota, B25, IF(G25&gt;=Quota, C25, D25)))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Partai</t>
        </is>
      </c>
      <c r="B1" s="4" t="inlineStr">
        <is>
          <t>Kursi</t>
        </is>
      </c>
      <c r="C1" s="4" t="inlineStr">
        <is>
          <t>% Kursi</t>
        </is>
      </c>
      <c r="D1" s="4" t="inlineStr">
        <is>
          <t>Pivot Count</t>
        </is>
      </c>
      <c r="E1" s="4" t="inlineStr">
        <is>
          <t>Shapley Index</t>
        </is>
      </c>
      <c r="F1" s="4" t="inlineStr">
        <is>
          <t>Gap</t>
        </is>
      </c>
    </row>
    <row r="2">
      <c r="A2" t="inlineStr">
        <is>
          <t>Partai A</t>
        </is>
      </c>
      <c r="B2">
        <f>VLOOKUP(A2,InputData,2,FALSE)</f>
        <v/>
      </c>
      <c r="C2" s="5">
        <f>B2/Input!$B$7</f>
        <v/>
      </c>
      <c r="D2">
        <f>COUNTIF(Analysis!I:I, A2)</f>
        <v/>
      </c>
      <c r="E2" s="5">
        <f>D2/24</f>
        <v/>
      </c>
      <c r="F2" s="5">
        <f>E2-C2</f>
        <v/>
      </c>
    </row>
    <row r="3">
      <c r="A3" t="inlineStr">
        <is>
          <t>Partai B</t>
        </is>
      </c>
      <c r="B3">
        <f>VLOOKUP(A3,InputData,2,FALSE)</f>
        <v/>
      </c>
      <c r="C3" s="5">
        <f>B3/Input!$B$7</f>
        <v/>
      </c>
      <c r="D3">
        <f>COUNTIF(Analysis!I:I, A3)</f>
        <v/>
      </c>
      <c r="E3" s="5">
        <f>D3/24</f>
        <v/>
      </c>
      <c r="F3" s="5">
        <f>E3-C3</f>
        <v/>
      </c>
    </row>
    <row r="4">
      <c r="A4" t="inlineStr">
        <is>
          <t>Partai C</t>
        </is>
      </c>
      <c r="B4">
        <f>VLOOKUP(A4,InputData,2,FALSE)</f>
        <v/>
      </c>
      <c r="C4" s="5">
        <f>B4/Input!$B$7</f>
        <v/>
      </c>
      <c r="D4">
        <f>COUNTIF(Analysis!I:I, A4)</f>
        <v/>
      </c>
      <c r="E4" s="5">
        <f>D4/24</f>
        <v/>
      </c>
      <c r="F4" s="5">
        <f>E4-C4</f>
        <v/>
      </c>
    </row>
    <row r="5">
      <c r="A5" t="inlineStr">
        <is>
          <t>Partai D</t>
        </is>
      </c>
      <c r="B5">
        <f>VLOOKUP(A5,InputData,2,FALSE)</f>
        <v/>
      </c>
      <c r="C5" s="5">
        <f>B5/Input!$B$7</f>
        <v/>
      </c>
      <c r="D5">
        <f>COUNTIF(Analysis!I:I, A5)</f>
        <v/>
      </c>
      <c r="E5" s="5">
        <f>D5/24</f>
        <v/>
      </c>
      <c r="F5" s="5">
        <f>E5-C5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2025-12-27T14:18:36Z</dcterms:created>
  <dcterms:modified xmlns:dcterms="http://purl.org/dc/terms/" xmlns:xsi="http://www.w3.org/2001/XMLSchema-instance" xsi:type="dcterms:W3CDTF">2025-12-27T14:18:36Z</dcterms:modified>
</cp:coreProperties>
</file>